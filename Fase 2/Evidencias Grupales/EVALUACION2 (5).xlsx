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\Downloads\"/>
    </mc:Choice>
  </mc:AlternateContent>
  <xr:revisionPtr revIDLastSave="0" documentId="13_ncr:1_{8CDF5151-57B1-4C03-A3DB-347CB8A697DB}" xr6:coauthVersionLast="47" xr6:coauthVersionMax="47" xr10:uidLastSave="{00000000-0000-0000-0000-000000000000}"/>
  <bookViews>
    <workbookView xWindow="-23148" yWindow="-108" windowWidth="23256" windowHeight="13176" xr2:uid="{1E3BD94F-A0C0-4AB4-9627-8B274C45018D}"/>
  </bookViews>
  <sheets>
    <sheet name="EVALUACION2 (5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" i="1" l="1"/>
  <c r="K20" i="1" s="1"/>
  <c r="H20" i="1"/>
  <c r="I20" i="1" s="1"/>
  <c r="F20" i="1"/>
  <c r="G20" i="1" s="1"/>
  <c r="E20" i="1"/>
  <c r="D20" i="1"/>
  <c r="B20" i="1"/>
  <c r="K19" i="1"/>
  <c r="J19" i="1"/>
  <c r="I19" i="1"/>
  <c r="H19" i="1"/>
  <c r="F19" i="1"/>
  <c r="G19" i="1" s="1"/>
  <c r="E19" i="1"/>
  <c r="D19" i="1"/>
  <c r="B19" i="1"/>
  <c r="J18" i="1"/>
  <c r="K18" i="1" s="1"/>
  <c r="H18" i="1"/>
  <c r="I18" i="1" s="1"/>
  <c r="G18" i="1"/>
  <c r="E18" i="1"/>
  <c r="B18" i="1"/>
  <c r="K17" i="1"/>
  <c r="J17" i="1"/>
  <c r="H17" i="1"/>
  <c r="I17" i="1" s="1"/>
  <c r="G17" i="1"/>
  <c r="F17" i="1"/>
  <c r="E17" i="1"/>
  <c r="D17" i="1"/>
  <c r="B17" i="1"/>
  <c r="K16" i="1"/>
  <c r="J16" i="1"/>
  <c r="I16" i="1"/>
  <c r="H16" i="1"/>
  <c r="F16" i="1"/>
  <c r="G16" i="1" s="1"/>
  <c r="D16" i="1"/>
  <c r="E16" i="1" s="1"/>
  <c r="B16" i="1"/>
  <c r="J15" i="1"/>
  <c r="K15" i="1" s="1"/>
  <c r="I15" i="1"/>
  <c r="H15" i="1"/>
  <c r="G15" i="1"/>
  <c r="F15" i="1"/>
  <c r="D15" i="1"/>
  <c r="E15" i="1" s="1"/>
  <c r="B15" i="1"/>
  <c r="K14" i="1"/>
  <c r="J14" i="1"/>
  <c r="H14" i="1"/>
  <c r="I14" i="1" s="1"/>
  <c r="F14" i="1"/>
  <c r="G14" i="1" s="1"/>
  <c r="E14" i="1"/>
  <c r="D14" i="1"/>
  <c r="B14" i="1"/>
  <c r="K13" i="1"/>
  <c r="J13" i="1"/>
  <c r="I13" i="1"/>
  <c r="H13" i="1"/>
  <c r="F13" i="1"/>
  <c r="G13" i="1" s="1"/>
  <c r="G21" i="1" s="1"/>
  <c r="D13" i="1"/>
  <c r="E13" i="1" s="1"/>
  <c r="E21" i="1" s="1"/>
  <c r="B13" i="1"/>
  <c r="I21" i="1" l="1"/>
  <c r="C21" i="1" s="1"/>
  <c r="C22" i="1" s="1"/>
  <c r="K21" i="1"/>
  <c r="C4" i="1" l="1"/>
  <c r="C5" i="1"/>
  <c r="C6" i="1"/>
</calcChain>
</file>

<file path=xl/sharedStrings.xml><?xml version="1.0" encoding="utf-8"?>
<sst xmlns="http://schemas.openxmlformats.org/spreadsheetml/2006/main" count="25" uniqueCount="16">
  <si>
    <t>INTEGRANTES</t>
  </si>
  <si>
    <t>GRUPAL</t>
  </si>
  <si>
    <t>Martel</t>
  </si>
  <si>
    <t>Navarro</t>
  </si>
  <si>
    <t>Avila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</si>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</sst>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5" borderId="9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right" vertical="center" wrapText="1"/>
    </xf>
    <xf numFmtId="0" fontId="9" fillId="0" borderId="3" xfId="0" applyFont="1" applyBorder="1"/>
    <xf numFmtId="0" fontId="0" fillId="6" borderId="1" xfId="0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2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  <xf numFmtId="0" fontId="7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textRotation="255"/>
    </xf>
    <xf numFmtId="0" fontId="6" fillId="0" borderId="6" xfId="0" applyFont="1" applyBorder="1"/>
    <xf numFmtId="0" fontId="6" fillId="0" borderId="8" xfId="0" applyFont="1" applyBorder="1"/>
    <xf numFmtId="0" fontId="6" fillId="0" borderId="7" xfId="0" applyFont="1" applyBorder="1"/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6\0%202do%20Semestre\Capstone_2026\Coordinaci&#243;n\PLANILLA%20DE%20EVALUACION%20AVANCE%20FASE%202%20-%20S03.xlsx" TargetMode="External"/><Relationship Id="rId1" Type="http://schemas.openxmlformats.org/officeDocument/2006/relationships/externalLinkPath" Target="/Documents/2026/0%202do%20Semestre/Capstone_2026/Coordinaci&#243;n/PLANILLA%20DE%20EVALUACION%20AVANCE%20FASE%202%20-%20S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2"/>
      <sheetName val="EVALUACION2 (1)"/>
      <sheetName val="EVALUACION2 (Ind01)"/>
      <sheetName val="EVALUACION2 (2)"/>
      <sheetName val="EVALUACION2 (3)"/>
      <sheetName val="EVALUACION2 (4)"/>
      <sheetName val="EVALUACION2 (5)"/>
      <sheetName val="EVALUACION2 (6)"/>
      <sheetName val="EVALUACION2 (7)"/>
      <sheetName val="EVALUACION2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Propone ajustes al Proyecto APT considerando dificultades, facilitadores y retroalimentación. </v>
          </cell>
        </row>
        <row r="5">
          <cell r="A5" t="str">
            <v>2. Aplica una metodología que permite el logro de los objetivos propuestos, de acuerdo a los estándares de la disciplina.</v>
          </cell>
        </row>
        <row r="6">
          <cell r="A6" t="str">
            <v>3. Genera evidencias que dan cuenta del avance del Proyecto APT en relación a documentación, programación y almacenamiento de datos , de acuerdo a lo planificado por el equipo y que cumpla con estándares de desarrollo de la industria</v>
          </cell>
        </row>
        <row r="7">
          <cell r="A7" t="str">
            <v>4. Utiliza de manera precisa el lenguaje técnico en los entregables de acuerdo con lo requerido por la disciplina.</v>
          </cell>
        </row>
        <row r="8">
          <cell r="A8" t="str">
            <v xml:space="preserve">5. Utiliza reglas de redacción, ortografía (literal, puntual, acentual) y las normas para citas y referencias. </v>
          </cell>
        </row>
        <row r="9">
          <cell r="A9" t="str">
            <v>6. Entrega la documentación y evidencias requerida por la asignatura de acuerdo a la estrucutra y nombres solicitados, guardando todas las evidencias de avances en Git</v>
          </cell>
        </row>
        <row r="10">
          <cell r="A10" t="str">
            <v>7.- Generan evidencias claras dentro del repositorio  del aporte de cada uno de los integrantes del equipo que permitan identificar la equidad en el trabajo y la participación de cada estudiante.</v>
          </cell>
        </row>
        <row r="11">
          <cell r="A11" t="str">
            <v>8. Demuestra un trabajo en equipo en donde todos los miembros del equipo expresan con fluidez el conocimiento del tema expuesto y  participan de las actividades planificadas en el proyecto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EA10-31D9-46FC-B896-69A1BAEB28FB}">
  <sheetPr>
    <tabColor rgb="FFFFC000"/>
  </sheetPr>
  <dimension ref="A2:K895"/>
  <sheetViews>
    <sheetView tabSelected="1" zoomScale="85" zoomScaleNormal="85" workbookViewId="0">
      <selection activeCell="F18" sqref="F18"/>
    </sheetView>
  </sheetViews>
  <sheetFormatPr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1.2851562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1">
        <v>1</v>
      </c>
    </row>
    <row r="3" spans="1:11" x14ac:dyDescent="0.25">
      <c r="B3" s="2" t="s">
        <v>0</v>
      </c>
      <c r="C3" s="3" t="s">
        <v>1</v>
      </c>
    </row>
    <row r="4" spans="1:11" x14ac:dyDescent="0.25">
      <c r="A4" s="4">
        <v>1</v>
      </c>
      <c r="B4" s="5" t="s">
        <v>2</v>
      </c>
      <c r="C4" s="6">
        <f>'EVALUACION2 (5)'!$C$22</f>
        <v>6.6</v>
      </c>
      <c r="G4" s="7"/>
    </row>
    <row r="5" spans="1:11" x14ac:dyDescent="0.25">
      <c r="A5" s="4">
        <v>2</v>
      </c>
      <c r="B5" s="5" t="s">
        <v>3</v>
      </c>
      <c r="C5" s="6">
        <f>'EVALUACION2 (5)'!$C$22</f>
        <v>6.6</v>
      </c>
      <c r="G5" s="7"/>
    </row>
    <row r="6" spans="1:11" x14ac:dyDescent="0.25">
      <c r="A6" s="4">
        <v>3</v>
      </c>
      <c r="B6" s="5" t="s">
        <v>4</v>
      </c>
      <c r="C6" s="6">
        <f>'EVALUACION2 (5)'!$C$22</f>
        <v>6.6</v>
      </c>
      <c r="G6" s="7"/>
    </row>
    <row r="11" spans="1:11" ht="18.75" outlineLevel="1" x14ac:dyDescent="0.25">
      <c r="A11" s="23" t="s">
        <v>1</v>
      </c>
      <c r="B11" s="8"/>
      <c r="C11" s="27" t="s">
        <v>5</v>
      </c>
      <c r="D11" s="28" t="s">
        <v>6</v>
      </c>
      <c r="E11" s="29"/>
      <c r="F11" s="29"/>
      <c r="G11" s="29"/>
      <c r="H11" s="29"/>
      <c r="I11" s="29"/>
      <c r="J11" s="29"/>
      <c r="K11" s="30"/>
    </row>
    <row r="12" spans="1:11" outlineLevel="1" x14ac:dyDescent="0.25">
      <c r="A12" s="24"/>
      <c r="B12" s="9" t="s">
        <v>7</v>
      </c>
      <c r="C12" s="26"/>
      <c r="D12" s="28" t="s">
        <v>8</v>
      </c>
      <c r="E12" s="30"/>
      <c r="F12" s="28" t="s">
        <v>9</v>
      </c>
      <c r="G12" s="30"/>
      <c r="H12" s="28" t="s">
        <v>10</v>
      </c>
      <c r="I12" s="30"/>
      <c r="J12" s="28" t="s">
        <v>11</v>
      </c>
      <c r="K12" s="30"/>
    </row>
    <row r="13" spans="1:11" ht="24" outlineLevel="1" x14ac:dyDescent="0.25">
      <c r="A13" s="25"/>
      <c r="B13" s="10" t="str">
        <f>[1]RUBRICA!A4</f>
        <v xml:space="preserve">1. Propone ajustes al Proyecto APT considerando dificultades, facilitadores y retroalimentación. </v>
      </c>
      <c r="C13" s="11" t="s">
        <v>8</v>
      </c>
      <c r="D13" s="12" t="str">
        <f t="shared" ref="D13:D17" si="0">IF($C13=CL,"X","")</f>
        <v>X</v>
      </c>
      <c r="E13" s="12">
        <f>IF(D13="X",100*0.1,"")</f>
        <v>10</v>
      </c>
      <c r="F13" s="12" t="str">
        <f t="shared" ref="F13:F17" si="1">IF($C13=L,"X","")</f>
        <v/>
      </c>
      <c r="G13" s="12" t="str">
        <f>IF(F13="X",60*0.1,"")</f>
        <v/>
      </c>
      <c r="H13" s="12" t="str">
        <f t="shared" ref="H13:H17" si="2">IF($C13=ML,"X","")</f>
        <v/>
      </c>
      <c r="I13" s="12" t="str">
        <f>IF(H13="X",30*0.1,"")</f>
        <v/>
      </c>
      <c r="J13" s="12" t="str">
        <f t="shared" ref="J13:J17" si="3">IF($C13=NL,"X","")</f>
        <v/>
      </c>
      <c r="K13" s="12" t="str">
        <f t="shared" ref="K13:K20" si="4">IF($J13="X",0,"")</f>
        <v/>
      </c>
    </row>
    <row r="14" spans="1:11" ht="26.45" customHeight="1" outlineLevel="1" x14ac:dyDescent="0.25">
      <c r="A14" s="25"/>
      <c r="B14" s="10" t="str">
        <f>[1]RUBRICA!A5</f>
        <v>2. Aplica una metodología que permite el logro de los objetivos propuestos, de acuerdo a los estándares de la disciplina.</v>
      </c>
      <c r="C14" s="11" t="s">
        <v>9</v>
      </c>
      <c r="D14" s="12" t="str">
        <f t="shared" si="0"/>
        <v/>
      </c>
      <c r="E14" s="12" t="str">
        <f>IF(D14="X",100*0.1,"")</f>
        <v/>
      </c>
      <c r="F14" s="12" t="str">
        <f t="shared" si="1"/>
        <v>X</v>
      </c>
      <c r="G14" s="12">
        <f>IF(F14="X",60*0.1,"")</f>
        <v>6</v>
      </c>
      <c r="H14" s="12" t="str">
        <f t="shared" si="2"/>
        <v/>
      </c>
      <c r="I14" s="12" t="str">
        <f>IF(H14="X",30*0.1,"")</f>
        <v/>
      </c>
      <c r="J14" s="12" t="str">
        <f t="shared" si="3"/>
        <v/>
      </c>
      <c r="K14" s="12" t="str">
        <f t="shared" si="4"/>
        <v/>
      </c>
    </row>
    <row r="15" spans="1:11" ht="48" outlineLevel="1" x14ac:dyDescent="0.25">
      <c r="A15" s="25"/>
      <c r="B15" s="10" t="str">
        <f>[1]RUBRICA!A6</f>
        <v>3. Genera evidencias que dan cuenta del avance del Proyecto APT en relación a documentación, programación y almacenamiento de datos , de acuerdo a lo planificado por el equipo y que cumpla con estándares de desarrollo de la industria</v>
      </c>
      <c r="C15" s="11" t="s">
        <v>8</v>
      </c>
      <c r="D15" s="12" t="str">
        <f t="shared" si="0"/>
        <v>X</v>
      </c>
      <c r="E15" s="12">
        <f>IF(D15="X",100*0.25,"")</f>
        <v>25</v>
      </c>
      <c r="F15" s="12" t="str">
        <f t="shared" si="1"/>
        <v/>
      </c>
      <c r="G15" s="12" t="str">
        <f>IF(F15="X",60*0.25,"")</f>
        <v/>
      </c>
      <c r="H15" s="12" t="str">
        <f t="shared" si="2"/>
        <v/>
      </c>
      <c r="I15" s="12" t="str">
        <f>IF(H15="X",30*0.25,"")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25"/>
      <c r="B16" s="10" t="str">
        <f>[1]RUBRICA!A7</f>
        <v>4. Utiliza de manera precisa el lenguaje técnico en los entregables de acuerdo con lo requerido por la disciplina.</v>
      </c>
      <c r="C16" s="11" t="s">
        <v>8</v>
      </c>
      <c r="D16" s="12" t="str">
        <f t="shared" si="0"/>
        <v>X</v>
      </c>
      <c r="E16" s="12">
        <f>IF(D16="X",100*0.05,"")</f>
        <v>5</v>
      </c>
      <c r="F16" s="12" t="str">
        <f t="shared" si="1"/>
        <v/>
      </c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25"/>
      <c r="B17" s="13" t="str">
        <f>[1]RUBRICA!A8</f>
        <v xml:space="preserve">5. Utiliza reglas de redacción, ortografía (literal, puntual, acentual) y las normas para citas y referencias. </v>
      </c>
      <c r="C17" s="11" t="s">
        <v>9</v>
      </c>
      <c r="D17" s="12" t="str">
        <f t="shared" si="0"/>
        <v/>
      </c>
      <c r="E17" s="12" t="str">
        <f>IF(D17="X",100*0.05,"")</f>
        <v/>
      </c>
      <c r="F17" s="12" t="str">
        <f t="shared" si="1"/>
        <v>X</v>
      </c>
      <c r="G17" s="12">
        <f>IF(F17="X",60*0.05,"")</f>
        <v>3</v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25"/>
      <c r="B18" s="13" t="str">
        <f>[1]RUBRICA!A9</f>
        <v>6. Entrega la documentación y evidencias requerida por la asignatura de acuerdo a la estrucutra y nombres solicitados, guardando todas las evidencias de avances en Git</v>
      </c>
      <c r="C18" s="11" t="s">
        <v>9</v>
      </c>
      <c r="D18" s="12" t="s">
        <v>15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si="4"/>
        <v/>
      </c>
    </row>
    <row r="19" spans="1:11" ht="36" outlineLevel="1" x14ac:dyDescent="0.25">
      <c r="A19" s="25"/>
      <c r="B19" s="13" t="str">
        <f>[1]RUBRICA!A10</f>
        <v>7.- Generan evidencias claras dentro del repositorio  del aporte de cada uno de los integrantes del equipo que permitan identificar la equidad en el trabajo y la participación de cada estudiante.</v>
      </c>
      <c r="C19" s="11" t="s">
        <v>8</v>
      </c>
      <c r="D19" s="12" t="str">
        <f>IF($C19=CL,"X","")</f>
        <v>X</v>
      </c>
      <c r="E19" s="12">
        <f>IF(D19="X",100*0.15,"")</f>
        <v>15</v>
      </c>
      <c r="F19" s="12" t="str">
        <f>IF($C19=L,"X","")</f>
        <v/>
      </c>
      <c r="G19" s="12" t="str">
        <f>IF(F19="X",60*0.15,"")</f>
        <v/>
      </c>
      <c r="H19" s="12" t="str">
        <f>IF($C19=ML,"X","")</f>
        <v/>
      </c>
      <c r="I19" s="12" t="str">
        <f>IF(H19="X",30*0.15,"")</f>
        <v/>
      </c>
      <c r="J19" s="12" t="str">
        <f>IF($C19=NL,"X","")</f>
        <v/>
      </c>
      <c r="K19" s="12" t="str">
        <f t="shared" si="4"/>
        <v/>
      </c>
    </row>
    <row r="20" spans="1:11" ht="36" outlineLevel="1" x14ac:dyDescent="0.25">
      <c r="A20" s="25"/>
      <c r="B20" s="10" t="str">
        <f>[1]RUBRICA!A11</f>
        <v>8. Demuestra un trabajo en equipo en donde todos los miembros del equipo expresan con fluidez el conocimiento del tema expuesto y  participan de las actividades planificadas en el proyecto</v>
      </c>
      <c r="C20" s="11" t="s">
        <v>8</v>
      </c>
      <c r="D20" s="12" t="str">
        <f>IF($C20=CL,"X","")</f>
        <v>X</v>
      </c>
      <c r="E20" s="12">
        <f>IF(D20="X",100*0.1,"")</f>
        <v>10</v>
      </c>
      <c r="F20" s="12" t="str">
        <f>IF($C20=L,"X","")</f>
        <v/>
      </c>
      <c r="G20" s="12" t="str">
        <f>IF(F20="X",60*0.1,"")</f>
        <v/>
      </c>
      <c r="H20" s="12" t="str">
        <f>IF($C20=ML,"X","")</f>
        <v/>
      </c>
      <c r="I20" s="12" t="str">
        <f>IF(H20="X",30*0.1,"")</f>
        <v/>
      </c>
      <c r="J20" s="12" t="str">
        <f>IF($C20=NL,"X","")</f>
        <v/>
      </c>
      <c r="K20" s="12" t="str">
        <f t="shared" si="4"/>
        <v/>
      </c>
    </row>
    <row r="21" spans="1:11" ht="15.75" customHeight="1" outlineLevel="1" x14ac:dyDescent="0.3">
      <c r="A21" s="24"/>
      <c r="B21" s="14" t="s">
        <v>12</v>
      </c>
      <c r="C21" s="15">
        <f>E21+G21+I21+K21</f>
        <v>94</v>
      </c>
      <c r="D21" s="16"/>
      <c r="E21" s="16">
        <f>SUM(E13:E20)</f>
        <v>85</v>
      </c>
      <c r="F21" s="16"/>
      <c r="G21" s="16">
        <f>SUM(G13:G20)</f>
        <v>9</v>
      </c>
      <c r="H21" s="16"/>
      <c r="I21" s="16">
        <f>SUM(I13:I20)</f>
        <v>0</v>
      </c>
      <c r="J21" s="16"/>
      <c r="K21" s="16">
        <f>SUM(K13:K20)</f>
        <v>0</v>
      </c>
    </row>
    <row r="22" spans="1:11" ht="15.75" customHeight="1" outlineLevel="1" x14ac:dyDescent="0.3">
      <c r="A22" s="26"/>
      <c r="B22" s="17" t="s">
        <v>13</v>
      </c>
      <c r="C22" s="18">
        <f>VLOOKUP(C21,[1]ESCALA_IEP!A2:B202,2,FALSE)</f>
        <v>6.6</v>
      </c>
    </row>
    <row r="23" spans="1:11" ht="15.75" customHeight="1" x14ac:dyDescent="0.25">
      <c r="D23" t="s">
        <v>14</v>
      </c>
    </row>
    <row r="24" spans="1:11" ht="48" customHeight="1" x14ac:dyDescent="0.25">
      <c r="B24" s="19"/>
    </row>
    <row r="25" spans="1:11" ht="15.75" customHeight="1" x14ac:dyDescent="0.3">
      <c r="B25" s="20"/>
      <c r="C25" s="21"/>
    </row>
    <row r="26" spans="1:11" ht="31.15" customHeight="1" x14ac:dyDescent="0.25">
      <c r="B26" s="22"/>
    </row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</sheetData>
  <mergeCells count="7">
    <mergeCell ref="A11:A22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83BFD05B-13F7-477D-A871-B45DA0CC599E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EVALUACION2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Brian Martel</cp:lastModifiedBy>
  <dcterms:created xsi:type="dcterms:W3CDTF">2026-10-28T19:39:02Z</dcterms:created>
  <dcterms:modified xsi:type="dcterms:W3CDTF">2026-10-28T20:02:11Z</dcterms:modified>
</cp:coreProperties>
</file>